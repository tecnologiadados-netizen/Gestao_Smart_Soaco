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vi\Downloads\"/>
    </mc:Choice>
  </mc:AlternateContent>
  <xr:revisionPtr revIDLastSave="0" documentId="13_ncr:1_{F90C5C17-944C-4839-B776-72797F220C8E}" xr6:coauthVersionLast="47" xr6:coauthVersionMax="47" xr10:uidLastSave="{00000000-0000-0000-0000-000000000000}"/>
  <bookViews>
    <workbookView xWindow="-110" yWindow="-110" windowWidth="19420" windowHeight="11020" xr2:uid="{ECF90986-8F0F-4522-B7A3-5EF5FF64A5ED}"/>
  </bookViews>
  <sheets>
    <sheet name="CronogramaDeProjeto" sheetId="1" r:id="rId1"/>
  </sheets>
  <definedNames>
    <definedName name="_xlnm._FilterDatabase" localSheetId="0" hidden="1">CronogramaDeProjeto!$A$1:$G$12</definedName>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CronogramaDeProjeto!$G1</definedName>
    <definedName name="_xlnm.Print_Titles" localSheetId="0">CronogramaDeProjeto!$4:$6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 r="G12" i="1"/>
  <c r="G11" i="1"/>
  <c r="G10" i="1"/>
  <c r="I10" i="1" s="1"/>
  <c r="G9" i="1"/>
  <c r="I9" i="1" s="1"/>
  <c r="I13" i="1"/>
  <c r="E3" i="1"/>
  <c r="J5" i="1" s="1"/>
  <c r="I7" i="1"/>
  <c r="D7" i="1"/>
  <c r="I14" i="1"/>
  <c r="I12" i="1"/>
  <c r="I11" i="1"/>
  <c r="I8" i="1"/>
  <c r="J6" i="1" l="1"/>
  <c r="J4" i="1"/>
  <c r="K5" i="1"/>
  <c r="K6" i="1" l="1"/>
  <c r="L5" i="1"/>
  <c r="L6" i="1" l="1"/>
  <c r="M5" i="1"/>
  <c r="M6" i="1" l="1"/>
  <c r="N5" i="1"/>
  <c r="O5" i="1" l="1"/>
  <c r="N6" i="1"/>
  <c r="P5" i="1" l="1"/>
  <c r="O6" i="1"/>
  <c r="Q5" i="1" l="1"/>
  <c r="P6" i="1"/>
  <c r="R5" i="1" l="1"/>
  <c r="Q4" i="1"/>
  <c r="Q6" i="1"/>
  <c r="R6" i="1" l="1"/>
  <c r="S5" i="1"/>
  <c r="S6" i="1" l="1"/>
  <c r="T5" i="1"/>
  <c r="T6" i="1" l="1"/>
  <c r="U5" i="1"/>
  <c r="U6" i="1" l="1"/>
  <c r="V5" i="1"/>
  <c r="W5" i="1" l="1"/>
  <c r="V6" i="1"/>
  <c r="X5" i="1" l="1"/>
  <c r="W6" i="1"/>
  <c r="Y5" i="1" l="1"/>
  <c r="X4" i="1"/>
  <c r="X6" i="1"/>
  <c r="Z5" i="1" l="1"/>
  <c r="Y6" i="1"/>
  <c r="Z6" i="1" l="1"/>
  <c r="AA5" i="1"/>
  <c r="AA6" i="1" l="1"/>
  <c r="AB5" i="1"/>
  <c r="AB6" i="1" l="1"/>
  <c r="AC5" i="1"/>
  <c r="AC6" i="1" l="1"/>
  <c r="AD5" i="1"/>
  <c r="AE5" i="1" l="1"/>
  <c r="AD6" i="1"/>
  <c r="AE4" i="1" l="1"/>
  <c r="AF5" i="1"/>
  <c r="AE6" i="1"/>
  <c r="AG5" i="1" l="1"/>
  <c r="AF6" i="1"/>
  <c r="AH5" i="1" l="1"/>
  <c r="AG6" i="1"/>
  <c r="AH6" i="1" l="1"/>
  <c r="AI5" i="1"/>
  <c r="AI6" i="1" l="1"/>
  <c r="AJ5" i="1"/>
  <c r="AJ6" i="1" l="1"/>
  <c r="AK5" i="1"/>
  <c r="AK6" i="1" l="1"/>
  <c r="AL5" i="1"/>
  <c r="AM5" i="1" l="1"/>
  <c r="AL6" i="1"/>
  <c r="AL4" i="1"/>
  <c r="AN5" i="1" l="1"/>
  <c r="AM6" i="1"/>
  <c r="AO5" i="1" l="1"/>
  <c r="AN6" i="1"/>
  <c r="AP5" i="1" l="1"/>
  <c r="AO6" i="1"/>
  <c r="AP6" i="1" l="1"/>
  <c r="AQ5" i="1"/>
  <c r="AQ6" i="1" l="1"/>
  <c r="AR5" i="1"/>
  <c r="AR6" i="1" l="1"/>
  <c r="AS5" i="1"/>
  <c r="AS6" i="1" l="1"/>
  <c r="AT5" i="1"/>
  <c r="AS4" i="1"/>
  <c r="AU5" i="1" l="1"/>
  <c r="AT6" i="1"/>
  <c r="AV5" i="1" l="1"/>
  <c r="AU6" i="1"/>
  <c r="AW5" i="1" l="1"/>
  <c r="AV6" i="1"/>
  <c r="AX5" i="1" l="1"/>
  <c r="AW6" i="1"/>
  <c r="AX6" i="1" l="1"/>
  <c r="AY5" i="1"/>
  <c r="AY6" i="1" l="1"/>
  <c r="AZ5" i="1"/>
  <c r="AZ6" i="1" l="1"/>
  <c r="BA5" i="1"/>
  <c r="AZ4" i="1"/>
  <c r="BA6" i="1" l="1"/>
  <c r="BB5" i="1"/>
  <c r="BC5" i="1" l="1"/>
  <c r="BB6" i="1"/>
  <c r="BD5" i="1" l="1"/>
  <c r="BC6" i="1"/>
  <c r="BE5" i="1" l="1"/>
  <c r="BD6" i="1"/>
  <c r="BF5" i="1" l="1"/>
  <c r="BE6" i="1"/>
  <c r="BF6" i="1" l="1"/>
  <c r="BG5" i="1"/>
  <c r="BG6" i="1" l="1"/>
  <c r="BG4" i="1"/>
  <c r="BH5" i="1"/>
  <c r="BH6" i="1" l="1"/>
  <c r="BI5" i="1"/>
  <c r="BI6" i="1" l="1"/>
  <c r="BJ5" i="1"/>
  <c r="BK5" i="1" l="1"/>
  <c r="BJ6" i="1"/>
  <c r="BL5" i="1" l="1"/>
  <c r="BK6" i="1"/>
  <c r="BM5" i="1" l="1"/>
  <c r="BL6" i="1"/>
  <c r="BN5" i="1" l="1"/>
  <c r="BM6" i="1"/>
  <c r="BN6" i="1" l="1"/>
  <c r="BN4" i="1"/>
  <c r="BO5" i="1"/>
  <c r="BO6" i="1" l="1"/>
  <c r="BP5" i="1"/>
  <c r="BP6" i="1" l="1"/>
  <c r="BQ5" i="1"/>
  <c r="BQ6" i="1" l="1"/>
  <c r="BR5" i="1"/>
  <c r="BS5" i="1" l="1"/>
  <c r="BR6" i="1"/>
  <c r="BT5" i="1" l="1"/>
  <c r="BS6" i="1"/>
  <c r="BU5" i="1" l="1"/>
  <c r="BT6" i="1"/>
  <c r="BV5" i="1" l="1"/>
  <c r="BU4" i="1"/>
  <c r="BU6" i="1"/>
  <c r="BV6" i="1" l="1"/>
  <c r="BW5" i="1"/>
  <c r="BW6" i="1" l="1"/>
  <c r="BX5" i="1"/>
  <c r="BX6" i="1" l="1"/>
  <c r="BY5" i="1"/>
  <c r="BY6" i="1" l="1"/>
  <c r="BZ5" i="1"/>
  <c r="CA5" i="1" l="1"/>
  <c r="BZ6" i="1"/>
  <c r="CB5" i="1" l="1"/>
  <c r="CA6" i="1"/>
  <c r="CC5" i="1" l="1"/>
  <c r="CB4" i="1"/>
  <c r="CB6" i="1"/>
  <c r="CD5" i="1" l="1"/>
  <c r="CC6" i="1"/>
  <c r="CD6" i="1" l="1"/>
  <c r="CE5" i="1"/>
  <c r="CF5" i="1" l="1"/>
  <c r="CE6" i="1"/>
  <c r="CF6" i="1" l="1"/>
  <c r="CG5" i="1"/>
  <c r="CG6" i="1" l="1"/>
  <c r="CH5" i="1"/>
  <c r="CH6" i="1" s="1"/>
</calcChain>
</file>

<file path=xl/sharedStrings.xml><?xml version="1.0" encoding="utf-8"?>
<sst xmlns="http://schemas.openxmlformats.org/spreadsheetml/2006/main" count="33" uniqueCount="30">
  <si>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</si>
  <si>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</si>
  <si>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Nome da empresa: Só Aço Ltda</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</si>
  <si>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</si>
  <si>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</si>
  <si>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</si>
  <si>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</si>
  <si>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</si>
  <si>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</si>
  <si>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</si>
  <si>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</si>
  <si>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</si>
  <si>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</si>
  <si>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</si>
  <si>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</si>
  <si>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</si>
  <si>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</si>
  <si>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Esta é uma linha vazia</t>
  </si>
  <si>
    <t>Esta linha marca o final do Cronograma do projeto. NÃO insira nada nessa linha. 
Insira novas linhas ACIMA desta linha para continuar a construção do cronograma de projeto.</t>
  </si>
  <si>
    <t>Insira novas linhas ACIMA desta</t>
  </si>
  <si>
    <t>Migração do Sistema Qualyteam</t>
  </si>
  <si>
    <t>Líder do projeto: GABRIELY DA SILVA SANTOS</t>
  </si>
  <si>
    <t>Cadastros gerais: Cadastro de setores, processos, endereçamentos.</t>
  </si>
  <si>
    <t>Cadastro dos equipamentos: Cadastro somente dos ativos, e inserir calibrações dos mesmos (23 itens)</t>
  </si>
  <si>
    <t xml:space="preserve">Cadastros de documentos externos + registros do qualyteam: 24 documentos externos (sem revisões)... 34 registros (sem revisões) </t>
  </si>
  <si>
    <t>Qualidade</t>
  </si>
  <si>
    <t>Migração de dados</t>
  </si>
  <si>
    <t>GABRIELY DA SILVA SANTOS</t>
  </si>
  <si>
    <t>Prazo (dias)</t>
  </si>
  <si>
    <t>Cadastros de documentos internos: Essa etapa contempla tanto o cadastro do documento, como o cadastro das revisões quando necessário. (198 documentos, alguns com revisões e outros não).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</si>
</sst>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d/mm/yyyy"/>
    <numFmt numFmtId="165" formatCode="d\-mmm\-yyyy"/>
    <numFmt numFmtId="166" formatCode="d"/>
    <numFmt numFmtId="167" formatCode="d/m/yy;@"/>
  </numFmts>
  <fonts count="2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2"/>
      <color theme="1" tint="0.34998626667073579"/>
      <name val="Calibri"/>
      <family val="2"/>
      <scheme val="major"/>
    </font>
    <font>
      <b/>
      <sz val="20"/>
      <color theme="4" tint="-0.249977111117893"/>
      <name val="Calibri"/>
      <family val="2"/>
      <scheme val="major"/>
    </font>
    <font>
      <sz val="10"/>
      <name val="Calibri"/>
      <family val="2"/>
      <scheme val="minor"/>
    </font>
    <font>
      <b/>
      <sz val="11"/>
      <name val="Calibri"/>
      <family val="2"/>
      <scheme val="minor"/>
    </font>
    <font>
      <sz val="14"/>
      <color theme="1"/>
      <name val="Calibri"/>
      <family val="2"/>
      <scheme val="minor"/>
    </font>
    <font>
      <u/>
      <sz val="11"/>
      <color indexed="12"/>
      <name val="Arial"/>
      <family val="2"/>
    </font>
    <font>
      <sz val="10"/>
      <name val="Arial"/>
      <family val="2"/>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28"/>
      <color rgb="FF002060"/>
      <name val="Calibri"/>
      <family val="2"/>
      <scheme val="major"/>
    </font>
    <font>
      <sz val="14"/>
      <color rgb="FF002060"/>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002060"/>
        <bgColor theme="4"/>
      </patternFill>
    </fill>
    <fill>
      <patternFill patternType="solid">
        <fgColor rgb="FF002060"/>
        <bgColor indexed="64"/>
      </patternFill>
    </fill>
    <fill>
      <patternFill patternType="solid">
        <fgColor theme="9" tint="0.79998168889431442"/>
        <bgColor indexed="64"/>
      </patternFill>
    </fill>
  </fills>
  <borders count="11">
    <border>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s>
  <cellStyleXfs count="12">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1" fillId="0" borderId="0" applyNumberFormat="0" applyFill="0" applyProtection="0">
      <alignment horizontal="right" indent="1"/>
    </xf>
    <xf numFmtId="0" fontId="9" fillId="0" borderId="0" applyNumberFormat="0" applyFill="0" applyBorder="0" applyAlignment="0" applyProtection="0">
      <alignment vertical="top"/>
      <protection locked="0"/>
    </xf>
    <xf numFmtId="0" fontId="3" fillId="0" borderId="0"/>
    <xf numFmtId="164" fontId="1" fillId="0" borderId="2">
      <alignment horizontal="center" vertical="center"/>
    </xf>
    <xf numFmtId="0" fontId="1" fillId="0" borderId="10" applyFill="0">
      <alignment horizontal="center" vertical="center"/>
    </xf>
    <xf numFmtId="0" fontId="1" fillId="0" borderId="10" applyFill="0">
      <alignment horizontal="left" vertical="center" indent="2"/>
    </xf>
    <xf numFmtId="167" fontId="1" fillId="0" borderId="10" applyFill="0">
      <alignment horizontal="center" vertical="center"/>
    </xf>
  </cellStyleXfs>
  <cellXfs count="61">
    <xf numFmtId="0" fontId="0" fillId="0" borderId="0" xfId="0"/>
    <xf numFmtId="0" fontId="3" fillId="0" borderId="0" xfId="7" applyAlignment="1">
      <alignment wrapText="1"/>
    </xf>
    <xf numFmtId="0" fontId="5" fillId="0" borderId="0" xfId="0" applyFont="1" applyAlignment="1">
      <alignment horizontal="left"/>
    </xf>
    <xf numFmtId="0" fontId="6" fillId="0" borderId="0" xfId="0" applyFont="1"/>
    <xf numFmtId="0" fontId="6" fillId="0" borderId="0" xfId="0" applyFont="1" applyAlignment="1">
      <alignment horizontal="center"/>
    </xf>
    <xf numFmtId="0" fontId="6" fillId="0" borderId="0" xfId="0" applyFont="1" applyAlignment="1">
      <alignment horizontal="center" vertical="center"/>
    </xf>
    <xf numFmtId="0" fontId="7" fillId="0" borderId="0" xfId="0" applyFont="1"/>
    <xf numFmtId="0" fontId="3" fillId="0" borderId="0" xfId="7"/>
    <xf numFmtId="0" fontId="0" fillId="0" borderId="0" xfId="0" applyAlignment="1">
      <alignment horizontal="center"/>
    </xf>
    <xf numFmtId="0" fontId="10" fillId="0" borderId="0" xfId="6" applyFont="1" applyProtection="1">
      <alignment vertical="top"/>
    </xf>
    <xf numFmtId="0" fontId="0" fillId="0" borderId="2" xfId="0" applyBorder="1" applyAlignment="1">
      <alignment horizontal="center" vertical="center"/>
    </xf>
    <xf numFmtId="0" fontId="0" fillId="0" borderId="6" xfId="0" applyBorder="1"/>
    <xf numFmtId="166" fontId="11" fillId="2" borderId="7" xfId="0" applyNumberFormat="1" applyFont="1" applyFill="1" applyBorder="1" applyAlignment="1">
      <alignment horizontal="center" vertical="center"/>
    </xf>
    <xf numFmtId="166" fontId="11" fillId="2" borderId="0" xfId="0" applyNumberFormat="1" applyFont="1" applyFill="1" applyAlignment="1">
      <alignment horizontal="center" vertical="center"/>
    </xf>
    <xf numFmtId="166" fontId="11" fillId="2" borderId="1" xfId="0" applyNumberFormat="1" applyFont="1" applyFill="1" applyBorder="1" applyAlignment="1">
      <alignment horizontal="center" vertical="center"/>
    </xf>
    <xf numFmtId="0" fontId="0" fillId="0" borderId="9" xfId="0" applyBorder="1" applyAlignment="1">
      <alignment vertical="center"/>
    </xf>
    <xf numFmtId="0" fontId="14" fillId="0" borderId="10" xfId="0" applyFont="1" applyBorder="1" applyAlignment="1">
      <alignment horizontal="center" vertical="center"/>
    </xf>
    <xf numFmtId="0" fontId="0" fillId="0" borderId="0" xfId="0" applyAlignment="1">
      <alignment vertical="center"/>
    </xf>
    <xf numFmtId="0" fontId="0" fillId="0" borderId="9" xfId="0" applyBorder="1" applyAlignment="1">
      <alignment horizontal="right" vertical="center"/>
    </xf>
    <xf numFmtId="0" fontId="1" fillId="0" borderId="10" xfId="10">
      <alignment horizontal="left" vertical="center" indent="2"/>
    </xf>
    <xf numFmtId="0" fontId="1" fillId="0" borderId="10" xfId="9">
      <alignment horizontal="center" vertical="center"/>
    </xf>
    <xf numFmtId="9" fontId="14" fillId="0" borderId="10" xfId="1" applyFont="1" applyBorder="1" applyAlignment="1">
      <alignment horizontal="center" vertical="center"/>
    </xf>
    <xf numFmtId="0" fontId="15" fillId="3" borderId="10" xfId="0" applyFont="1" applyFill="1" applyBorder="1" applyAlignment="1">
      <alignment horizontal="left" vertical="center" indent="1"/>
    </xf>
    <xf numFmtId="0" fontId="15" fillId="3" borderId="10" xfId="0" applyFont="1" applyFill="1" applyBorder="1" applyAlignment="1">
      <alignment horizontal="center" vertical="center"/>
    </xf>
    <xf numFmtId="9" fontId="14" fillId="3" borderId="10" xfId="1" applyFont="1" applyFill="1" applyBorder="1" applyAlignment="1">
      <alignment horizontal="center" vertical="center"/>
    </xf>
    <xf numFmtId="0" fontId="14" fillId="3" borderId="10" xfId="0" applyFont="1" applyFill="1" applyBorder="1" applyAlignment="1">
      <alignment horizontal="center" vertical="center"/>
    </xf>
    <xf numFmtId="0" fontId="0" fillId="3" borderId="9" xfId="0" applyFill="1" applyBorder="1" applyAlignment="1">
      <alignment vertical="center"/>
    </xf>
    <xf numFmtId="0" fontId="0" fillId="0" borderId="0" xfId="0" applyAlignment="1">
      <alignment horizontal="right" vertical="center"/>
    </xf>
    <xf numFmtId="0" fontId="17" fillId="0" borderId="0" xfId="0" applyFont="1"/>
    <xf numFmtId="0" fontId="18" fillId="0" borderId="0" xfId="6" applyFont="1" applyAlignment="1" applyProtection="1"/>
    <xf numFmtId="14" fontId="1" fillId="0" borderId="10" xfId="11" applyNumberFormat="1">
      <alignment horizontal="center" vertical="center"/>
    </xf>
    <xf numFmtId="14" fontId="16" fillId="3" borderId="10" xfId="0" applyNumberFormat="1" applyFont="1" applyFill="1" applyBorder="1" applyAlignment="1">
      <alignment horizontal="left" vertical="center"/>
    </xf>
    <xf numFmtId="14" fontId="14" fillId="3" borderId="10" xfId="0" applyNumberFormat="1" applyFont="1" applyFill="1" applyBorder="1" applyAlignment="1">
      <alignment horizontal="center" vertical="center"/>
    </xf>
    <xf numFmtId="14" fontId="0" fillId="0" borderId="0" xfId="0" applyNumberFormat="1" applyAlignment="1">
      <alignment horizontal="center"/>
    </xf>
    <xf numFmtId="14" fontId="0" fillId="0" borderId="0" xfId="0" applyNumberFormat="1"/>
    <xf numFmtId="14" fontId="3" fillId="0" borderId="0" xfId="0" applyNumberFormat="1" applyFont="1" applyAlignment="1">
      <alignment horizontal="center"/>
    </xf>
    <xf numFmtId="0" fontId="0" fillId="0" borderId="0" xfId="0" applyAlignment="1">
      <alignment horizontal="center" vertical="center"/>
    </xf>
    <xf numFmtId="0" fontId="12" fillId="4" borderId="4" xfId="0" applyFont="1" applyFill="1" applyBorder="1" applyAlignment="1">
      <alignment horizontal="left" vertical="center" indent="1"/>
    </xf>
    <xf numFmtId="0" fontId="12" fillId="4" borderId="4" xfId="0" applyFont="1" applyFill="1" applyBorder="1" applyAlignment="1">
      <alignment horizontal="center" vertical="center" wrapText="1"/>
    </xf>
    <xf numFmtId="0" fontId="13" fillId="5" borderId="8" xfId="0" applyFont="1" applyFill="1" applyBorder="1" applyAlignment="1">
      <alignment horizontal="center" vertical="center" shrinkToFit="1"/>
    </xf>
    <xf numFmtId="0" fontId="1" fillId="3" borderId="10" xfId="10" applyFill="1" applyAlignment="1">
      <alignment horizontal="left" vertical="center" wrapText="1"/>
    </xf>
    <xf numFmtId="0" fontId="1" fillId="3" borderId="10" xfId="9" applyFill="1">
      <alignment horizontal="center" vertical="center"/>
    </xf>
    <xf numFmtId="14" fontId="1" fillId="3" borderId="10" xfId="11" applyNumberFormat="1" applyFill="1">
      <alignment horizontal="center" vertical="center"/>
    </xf>
    <xf numFmtId="0" fontId="1" fillId="3" borderId="10" xfId="11" applyNumberFormat="1" applyFill="1">
      <alignment horizontal="center" vertical="center"/>
    </xf>
    <xf numFmtId="0" fontId="0" fillId="3" borderId="0" xfId="0" applyFill="1"/>
    <xf numFmtId="0" fontId="0" fillId="3" borderId="0" xfId="0" applyFill="1" applyAlignment="1">
      <alignment wrapText="1"/>
    </xf>
    <xf numFmtId="9" fontId="0" fillId="3" borderId="0" xfId="0" applyNumberFormat="1" applyFill="1" applyAlignment="1">
      <alignment horizontal="center" vertical="center"/>
    </xf>
    <xf numFmtId="0" fontId="19" fillId="0" borderId="0" xfId="2" applyFont="1" applyAlignment="1">
      <alignment horizontal="left"/>
    </xf>
    <xf numFmtId="0" fontId="20" fillId="0" borderId="0" xfId="3" applyFont="1"/>
    <xf numFmtId="0" fontId="20" fillId="0" borderId="0" xfId="4" applyFont="1" applyAlignment="1">
      <alignment horizontal="left" vertical="top"/>
    </xf>
    <xf numFmtId="9" fontId="14" fillId="6" borderId="10" xfId="1" applyFont="1" applyFill="1" applyBorder="1" applyAlignment="1">
      <alignment horizontal="center" vertical="center"/>
    </xf>
    <xf numFmtId="167" fontId="14" fillId="6" borderId="10" xfId="0" applyNumberFormat="1" applyFont="1" applyFill="1" applyBorder="1" applyAlignment="1">
      <alignment horizontal="center" vertical="center"/>
    </xf>
    <xf numFmtId="0" fontId="14" fillId="6" borderId="10" xfId="0" applyFont="1" applyFill="1" applyBorder="1" applyAlignment="1">
      <alignment horizontal="center" vertical="center"/>
    </xf>
    <xf numFmtId="0" fontId="2" fillId="6" borderId="10" xfId="0" applyFont="1" applyFill="1" applyBorder="1" applyAlignment="1">
      <alignment horizontal="center" vertical="center"/>
    </xf>
    <xf numFmtId="0" fontId="1" fillId="6" borderId="10" xfId="9" applyFill="1">
      <alignment horizontal="center" vertical="center"/>
    </xf>
    <xf numFmtId="165" fontId="0" fillId="2" borderId="3" xfId="0" applyNumberFormat="1" applyFill="1" applyBorder="1" applyAlignment="1">
      <alignment horizontal="left" vertical="center" wrapText="1" indent="1"/>
    </xf>
    <xf numFmtId="165" fontId="0" fillId="2" borderId="4" xfId="0" applyNumberFormat="1" applyFill="1" applyBorder="1" applyAlignment="1">
      <alignment horizontal="left" vertical="center" wrapText="1" indent="1"/>
    </xf>
    <xf numFmtId="165" fontId="0" fillId="2" borderId="5" xfId="0" applyNumberFormat="1" applyFill="1" applyBorder="1" applyAlignment="1">
      <alignment horizontal="left" vertical="center" wrapText="1" indent="1"/>
    </xf>
    <xf numFmtId="0" fontId="1" fillId="0" borderId="0" xfId="5">
      <alignment horizontal="right" indent="1"/>
    </xf>
    <xf numFmtId="0" fontId="1" fillId="0" borderId="1" xfId="5" applyBorder="1">
      <alignment horizontal="right" indent="1"/>
    </xf>
    <xf numFmtId="164" fontId="1" fillId="0" borderId="2" xfId="8">
      <alignment horizontal="center" vertical="center"/>
    </xf>
  </cellXfs>
  <cellStyles count="12">
    <cellStyle name="Data" xfId="11" xr:uid="{C128F719-F763-4E3E-ADDB-9F01D894250D}"/>
    <cellStyle name="Hiperlink" xfId="6" builtinId="8"/>
    <cellStyle name="Início do Projeto" xfId="8" xr:uid="{26B56CD0-186F-498B-A4CE-7F74DBE40A4E}"/>
    <cellStyle name="Nome" xfId="9" xr:uid="{9FD40B57-C7AE-410B-9525-DF3CC75A9920}"/>
    <cellStyle name="Normal" xfId="0" builtinId="0"/>
    <cellStyle name="Porcentagem" xfId="1" builtinId="5"/>
    <cellStyle name="Tarefa" xfId="10" xr:uid="{4BCE8BE4-E49E-49F5-854A-F50B6A177D8E}"/>
    <cellStyle name="Título" xfId="2" builtinId="15"/>
    <cellStyle name="Título 1" xfId="3" builtinId="16"/>
    <cellStyle name="Título 2" xfId="4" builtinId="17"/>
    <cellStyle name="Título 3" xfId="5" builtinId="18"/>
    <cellStyle name="zTextoOculto" xfId="7" xr:uid="{3FEA8D3E-0804-4BB4-891A-72420FD5B657}"/>
  </cellStyles>
  <dxfs count="3">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s>
  <tableStyles count="0" defaultTableStyle="TableStyleMedium2" defaultPivotStyle="PivotStyleLight16"/>
  <colors>
    <mruColors>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C311-A67D-4B98-B6D9-B65984984CE7}">
  <sheetPr>
    <pageSetUpPr fitToPage="1"/>
  </sheetPr>
  <dimension ref="A1:CH17"/>
  <sheetViews>
    <sheetView showGridLines="0" tabSelected="1" showRuler="0" zoomScale="70" zoomScaleNormal="70" zoomScalePageLayoutView="70" workbookViewId="0">
      <pane ySplit="6" topLeftCell="A7" activePane="bottomLeft" state="frozen"/>
      <selection pane="bottomLeft" activeCell="D10" sqref="D10"/>
    </sheetView>
  </sheetViews>
  <sheetFormatPr defaultRowHeight="30" customHeight="1"/>
  <cols>
    <col min="1" max="1" width="2.6328125" style="7" customWidth="1"/>
    <col min="2" max="2" width="54.1796875" customWidth="1"/>
    <col min="3" max="3" width="23.54296875" customWidth="1"/>
    <col min="4" max="4" width="7.6328125" customWidth="1"/>
    <col min="5" max="6" width="12.90625" style="33" customWidth="1"/>
    <col min="7" max="7" width="13.1796875" style="34" customWidth="1"/>
    <col min="8" max="8" width="2.6328125" customWidth="1"/>
    <col min="9" max="9" width="6.6328125" style="8" customWidth="1"/>
    <col min="10" max="86" width="2.54296875" customWidth="1"/>
  </cols>
  <sheetData>
    <row r="1" spans="1:86" ht="30" customHeight="1">
      <c r="A1" s="1" t="s">
        <v>0</v>
      </c>
      <c r="B1" s="47" t="s">
        <v>20</v>
      </c>
      <c r="C1" s="2"/>
      <c r="D1" s="3"/>
      <c r="E1" s="4"/>
      <c r="F1" s="4"/>
      <c r="G1" s="5"/>
      <c r="I1" s="4"/>
      <c r="J1" s="6"/>
    </row>
    <row r="2" spans="1:86" ht="30" customHeight="1">
      <c r="A2" s="7" t="s">
        <v>1</v>
      </c>
      <c r="B2" s="48" t="s">
        <v>2</v>
      </c>
      <c r="E2" s="8"/>
      <c r="F2" s="8"/>
      <c r="G2"/>
      <c r="J2" s="9"/>
    </row>
    <row r="3" spans="1:86" ht="30" customHeight="1">
      <c r="A3" s="7" t="s">
        <v>3</v>
      </c>
      <c r="B3" s="49" t="s">
        <v>21</v>
      </c>
      <c r="C3" s="58" t="s">
        <v>4</v>
      </c>
      <c r="D3" s="59"/>
      <c r="E3" s="60">
        <f>DATE(2026, 6, 21)</f>
        <v>46194</v>
      </c>
      <c r="F3" s="60"/>
      <c r="G3" s="60"/>
    </row>
    <row r="4" spans="1:86" ht="30" customHeight="1">
      <c r="A4" s="1" t="s">
        <v>5</v>
      </c>
      <c r="C4" s="58" t="s">
        <v>6</v>
      </c>
      <c r="D4" s="59"/>
      <c r="E4" s="10">
        <v>1</v>
      </c>
      <c r="F4" s="36"/>
      <c r="G4"/>
      <c r="J4" s="55">
        <f>J5</f>
        <v>46195</v>
      </c>
      <c r="K4" s="56"/>
      <c r="L4" s="56"/>
      <c r="M4" s="56"/>
      <c r="N4" s="56"/>
      <c r="O4" s="56"/>
      <c r="P4" s="57"/>
      <c r="Q4" s="55">
        <f>Q5</f>
        <v>46202</v>
      </c>
      <c r="R4" s="56"/>
      <c r="S4" s="56"/>
      <c r="T4" s="56"/>
      <c r="U4" s="56"/>
      <c r="V4" s="56"/>
      <c r="W4" s="57"/>
      <c r="X4" s="55">
        <f>X5</f>
        <v>46209</v>
      </c>
      <c r="Y4" s="56"/>
      <c r="Z4" s="56"/>
      <c r="AA4" s="56"/>
      <c r="AB4" s="56"/>
      <c r="AC4" s="56"/>
      <c r="AD4" s="57"/>
      <c r="AE4" s="55">
        <f>AE5</f>
        <v>46216</v>
      </c>
      <c r="AF4" s="56"/>
      <c r="AG4" s="56"/>
      <c r="AH4" s="56"/>
      <c r="AI4" s="56"/>
      <c r="AJ4" s="56"/>
      <c r="AK4" s="57"/>
      <c r="AL4" s="55">
        <f>AL5</f>
        <v>46223</v>
      </c>
      <c r="AM4" s="56"/>
      <c r="AN4" s="56"/>
      <c r="AO4" s="56"/>
      <c r="AP4" s="56"/>
      <c r="AQ4" s="56"/>
      <c r="AR4" s="57"/>
      <c r="AS4" s="55">
        <f>AS5</f>
        <v>46230</v>
      </c>
      <c r="AT4" s="56"/>
      <c r="AU4" s="56"/>
      <c r="AV4" s="56"/>
      <c r="AW4" s="56"/>
      <c r="AX4" s="56"/>
      <c r="AY4" s="57"/>
      <c r="AZ4" s="55">
        <f>AZ5</f>
        <v>46237</v>
      </c>
      <c r="BA4" s="56"/>
      <c r="BB4" s="56"/>
      <c r="BC4" s="56"/>
      <c r="BD4" s="56"/>
      <c r="BE4" s="56"/>
      <c r="BF4" s="57"/>
      <c r="BG4" s="55">
        <f>BG5</f>
        <v>46244</v>
      </c>
      <c r="BH4" s="56"/>
      <c r="BI4" s="56"/>
      <c r="BJ4" s="56"/>
      <c r="BK4" s="56"/>
      <c r="BL4" s="56"/>
      <c r="BM4" s="57"/>
      <c r="BN4" s="55">
        <f>BN5</f>
        <v>46251</v>
      </c>
      <c r="BO4" s="56"/>
      <c r="BP4" s="56"/>
      <c r="BQ4" s="56"/>
      <c r="BR4" s="56"/>
      <c r="BS4" s="56"/>
      <c r="BT4" s="57"/>
      <c r="BU4" s="55">
        <f>BU5</f>
        <v>46258</v>
      </c>
      <c r="BV4" s="56"/>
      <c r="BW4" s="56"/>
      <c r="BX4" s="56"/>
      <c r="BY4" s="56"/>
      <c r="BZ4" s="56"/>
      <c r="CA4" s="57"/>
      <c r="CB4" s="55">
        <f>CB5</f>
        <v>46265</v>
      </c>
      <c r="CC4" s="56"/>
      <c r="CD4" s="56"/>
      <c r="CE4" s="56"/>
      <c r="CF4" s="56"/>
      <c r="CG4" s="56"/>
      <c r="CH4" s="57"/>
    </row>
    <row r="5" spans="1:86" ht="15" customHeight="1">
      <c r="A5" s="1" t="s">
        <v>7</v>
      </c>
      <c r="B5" s="11"/>
      <c r="C5" s="11"/>
      <c r="D5" s="11"/>
      <c r="E5" s="11"/>
      <c r="F5" s="11"/>
      <c r="G5" s="11"/>
      <c r="H5" s="11"/>
      <c r="J5" s="12">
        <f>Início_do_projeto-WEEKDAY(Início_do_projeto,1)+2+7*(Semana_de_exibição-1)</f>
        <v>46195</v>
      </c>
      <c r="K5" s="13">
        <f>J5+1</f>
        <v>46196</v>
      </c>
      <c r="L5" s="13">
        <f t="shared" ref="L5:AY5" si="0">K5+1</f>
        <v>46197</v>
      </c>
      <c r="M5" s="13">
        <f t="shared" si="0"/>
        <v>46198</v>
      </c>
      <c r="N5" s="13">
        <f t="shared" si="0"/>
        <v>46199</v>
      </c>
      <c r="O5" s="13">
        <f t="shared" si="0"/>
        <v>46200</v>
      </c>
      <c r="P5" s="14">
        <f t="shared" si="0"/>
        <v>46201</v>
      </c>
      <c r="Q5" s="12">
        <f>P5+1</f>
        <v>46202</v>
      </c>
      <c r="R5" s="13">
        <f>Q5+1</f>
        <v>46203</v>
      </c>
      <c r="S5" s="13">
        <f t="shared" si="0"/>
        <v>46204</v>
      </c>
      <c r="T5" s="13">
        <f t="shared" si="0"/>
        <v>46205</v>
      </c>
      <c r="U5" s="13">
        <f t="shared" si="0"/>
        <v>46206</v>
      </c>
      <c r="V5" s="13">
        <f t="shared" si="0"/>
        <v>46207</v>
      </c>
      <c r="W5" s="14">
        <f t="shared" si="0"/>
        <v>46208</v>
      </c>
      <c r="X5" s="12">
        <f>W5+1</f>
        <v>46209</v>
      </c>
      <c r="Y5" s="13">
        <f>X5+1</f>
        <v>46210</v>
      </c>
      <c r="Z5" s="13">
        <f t="shared" si="0"/>
        <v>46211</v>
      </c>
      <c r="AA5" s="13">
        <f t="shared" si="0"/>
        <v>46212</v>
      </c>
      <c r="AB5" s="13">
        <f t="shared" si="0"/>
        <v>46213</v>
      </c>
      <c r="AC5" s="13">
        <f t="shared" si="0"/>
        <v>46214</v>
      </c>
      <c r="AD5" s="14">
        <f t="shared" si="0"/>
        <v>46215</v>
      </c>
      <c r="AE5" s="12">
        <f>AD5+1</f>
        <v>46216</v>
      </c>
      <c r="AF5" s="13">
        <f>AE5+1</f>
        <v>46217</v>
      </c>
      <c r="AG5" s="13">
        <f t="shared" si="0"/>
        <v>46218</v>
      </c>
      <c r="AH5" s="13">
        <f t="shared" si="0"/>
        <v>46219</v>
      </c>
      <c r="AI5" s="13">
        <f t="shared" si="0"/>
        <v>46220</v>
      </c>
      <c r="AJ5" s="13">
        <f t="shared" si="0"/>
        <v>46221</v>
      </c>
      <c r="AK5" s="14">
        <f t="shared" si="0"/>
        <v>46222</v>
      </c>
      <c r="AL5" s="12">
        <f>AK5+1</f>
        <v>46223</v>
      </c>
      <c r="AM5" s="13">
        <f>AL5+1</f>
        <v>46224</v>
      </c>
      <c r="AN5" s="13">
        <f t="shared" si="0"/>
        <v>46225</v>
      </c>
      <c r="AO5" s="13">
        <f t="shared" si="0"/>
        <v>46226</v>
      </c>
      <c r="AP5" s="13">
        <f t="shared" si="0"/>
        <v>46227</v>
      </c>
      <c r="AQ5" s="13">
        <f t="shared" si="0"/>
        <v>46228</v>
      </c>
      <c r="AR5" s="14">
        <f t="shared" si="0"/>
        <v>46229</v>
      </c>
      <c r="AS5" s="12">
        <f>AR5+1</f>
        <v>46230</v>
      </c>
      <c r="AT5" s="13">
        <f>AS5+1</f>
        <v>46231</v>
      </c>
      <c r="AU5" s="13">
        <f t="shared" si="0"/>
        <v>46232</v>
      </c>
      <c r="AV5" s="13">
        <f t="shared" si="0"/>
        <v>46233</v>
      </c>
      <c r="AW5" s="13">
        <f t="shared" si="0"/>
        <v>46234</v>
      </c>
      <c r="AX5" s="13">
        <f t="shared" si="0"/>
        <v>46235</v>
      </c>
      <c r="AY5" s="14">
        <f t="shared" si="0"/>
        <v>46236</v>
      </c>
      <c r="AZ5" s="12">
        <f>AY5+1</f>
        <v>46237</v>
      </c>
      <c r="BA5" s="13">
        <f>AZ5+1</f>
        <v>46238</v>
      </c>
      <c r="BB5" s="13">
        <f t="shared" ref="BB5:BF5" si="1">BA5+1</f>
        <v>46239</v>
      </c>
      <c r="BC5" s="13">
        <f t="shared" si="1"/>
        <v>46240</v>
      </c>
      <c r="BD5" s="13">
        <f t="shared" si="1"/>
        <v>46241</v>
      </c>
      <c r="BE5" s="13">
        <f t="shared" si="1"/>
        <v>46242</v>
      </c>
      <c r="BF5" s="14">
        <f t="shared" si="1"/>
        <v>46243</v>
      </c>
      <c r="BG5" s="12">
        <f>BF5+1</f>
        <v>46244</v>
      </c>
      <c r="BH5" s="13">
        <f>BG5+1</f>
        <v>46245</v>
      </c>
      <c r="BI5" s="13">
        <f t="shared" ref="BI5:BM5" si="2">BH5+1</f>
        <v>46246</v>
      </c>
      <c r="BJ5" s="13">
        <f t="shared" si="2"/>
        <v>46247</v>
      </c>
      <c r="BK5" s="13">
        <f t="shared" si="2"/>
        <v>46248</v>
      </c>
      <c r="BL5" s="13">
        <f t="shared" si="2"/>
        <v>46249</v>
      </c>
      <c r="BM5" s="14">
        <f t="shared" si="2"/>
        <v>46250</v>
      </c>
      <c r="BN5" s="12">
        <f>BM5+1</f>
        <v>46251</v>
      </c>
      <c r="BO5" s="13">
        <f>BN5+1</f>
        <v>46252</v>
      </c>
      <c r="BP5" s="13">
        <f t="shared" ref="BP5:BT5" si="3">BO5+1</f>
        <v>46253</v>
      </c>
      <c r="BQ5" s="13">
        <f t="shared" si="3"/>
        <v>46254</v>
      </c>
      <c r="BR5" s="13">
        <f t="shared" si="3"/>
        <v>46255</v>
      </c>
      <c r="BS5" s="13">
        <f t="shared" si="3"/>
        <v>46256</v>
      </c>
      <c r="BT5" s="14">
        <f t="shared" si="3"/>
        <v>46257</v>
      </c>
      <c r="BU5" s="12">
        <f>BT5+1</f>
        <v>46258</v>
      </c>
      <c r="BV5" s="13">
        <f>BU5+1</f>
        <v>46259</v>
      </c>
      <c r="BW5" s="13">
        <f t="shared" ref="BW5:CA5" si="4">BV5+1</f>
        <v>46260</v>
      </c>
      <c r="BX5" s="13">
        <f t="shared" si="4"/>
        <v>46261</v>
      </c>
      <c r="BY5" s="13">
        <f t="shared" si="4"/>
        <v>46262</v>
      </c>
      <c r="BZ5" s="13">
        <f t="shared" si="4"/>
        <v>46263</v>
      </c>
      <c r="CA5" s="14">
        <f t="shared" si="4"/>
        <v>46264</v>
      </c>
      <c r="CB5" s="12">
        <f>CA5+1</f>
        <v>46265</v>
      </c>
      <c r="CC5" s="13">
        <f>CB5+1</f>
        <v>46266</v>
      </c>
      <c r="CD5" s="13">
        <f t="shared" ref="CD5:CH5" si="5">CC5+1</f>
        <v>46267</v>
      </c>
      <c r="CE5" s="13">
        <f t="shared" si="5"/>
        <v>46268</v>
      </c>
      <c r="CF5" s="13">
        <f t="shared" si="5"/>
        <v>46269</v>
      </c>
      <c r="CG5" s="13">
        <f t="shared" si="5"/>
        <v>46270</v>
      </c>
      <c r="CH5" s="14">
        <f t="shared" si="5"/>
        <v>46271</v>
      </c>
    </row>
    <row r="6" spans="1:86" ht="30" customHeight="1" thickBot="1">
      <c r="A6" s="1" t="s">
        <v>8</v>
      </c>
      <c r="B6" s="37" t="s">
        <v>9</v>
      </c>
      <c r="C6" s="38" t="s">
        <v>10</v>
      </c>
      <c r="D6" s="38" t="s">
        <v>11</v>
      </c>
      <c r="E6" s="38" t="s">
        <v>12</v>
      </c>
      <c r="F6" s="38" t="s">
        <v>28</v>
      </c>
      <c r="G6" s="38" t="s">
        <v>13</v>
      </c>
      <c r="H6" s="38"/>
      <c r="I6" s="38" t="s">
        <v>14</v>
      </c>
      <c r="J6" s="39" t="str">
        <f t="shared" ref="J6:BU6" si="6">LEFT(TEXT(J5,"ddd"),1)</f>
        <v>s</v>
      </c>
      <c r="K6" s="39" t="str">
        <f t="shared" si="6"/>
        <v>t</v>
      </c>
      <c r="L6" s="39" t="str">
        <f t="shared" si="6"/>
        <v>q</v>
      </c>
      <c r="M6" s="39" t="str">
        <f t="shared" si="6"/>
        <v>q</v>
      </c>
      <c r="N6" s="39" t="str">
        <f t="shared" si="6"/>
        <v>s</v>
      </c>
      <c r="O6" s="39" t="str">
        <f t="shared" si="6"/>
        <v>s</v>
      </c>
      <c r="P6" s="39" t="str">
        <f t="shared" si="6"/>
        <v>d</v>
      </c>
      <c r="Q6" s="39" t="str">
        <f t="shared" si="6"/>
        <v>s</v>
      </c>
      <c r="R6" s="39" t="str">
        <f t="shared" si="6"/>
        <v>t</v>
      </c>
      <c r="S6" s="39" t="str">
        <f t="shared" si="6"/>
        <v>q</v>
      </c>
      <c r="T6" s="39" t="str">
        <f t="shared" si="6"/>
        <v>q</v>
      </c>
      <c r="U6" s="39" t="str">
        <f t="shared" si="6"/>
        <v>s</v>
      </c>
      <c r="V6" s="39" t="str">
        <f t="shared" si="6"/>
        <v>s</v>
      </c>
      <c r="W6" s="39" t="str">
        <f t="shared" si="6"/>
        <v>d</v>
      </c>
      <c r="X6" s="39" t="str">
        <f t="shared" si="6"/>
        <v>s</v>
      </c>
      <c r="Y6" s="39" t="str">
        <f t="shared" si="6"/>
        <v>t</v>
      </c>
      <c r="Z6" s="39" t="str">
        <f t="shared" si="6"/>
        <v>q</v>
      </c>
      <c r="AA6" s="39" t="str">
        <f t="shared" si="6"/>
        <v>q</v>
      </c>
      <c r="AB6" s="39" t="str">
        <f t="shared" si="6"/>
        <v>s</v>
      </c>
      <c r="AC6" s="39" t="str">
        <f t="shared" si="6"/>
        <v>s</v>
      </c>
      <c r="AD6" s="39" t="str">
        <f t="shared" si="6"/>
        <v>d</v>
      </c>
      <c r="AE6" s="39" t="str">
        <f t="shared" si="6"/>
        <v>s</v>
      </c>
      <c r="AF6" s="39" t="str">
        <f t="shared" si="6"/>
        <v>t</v>
      </c>
      <c r="AG6" s="39" t="str">
        <f t="shared" si="6"/>
        <v>q</v>
      </c>
      <c r="AH6" s="39" t="str">
        <f t="shared" si="6"/>
        <v>q</v>
      </c>
      <c r="AI6" s="39" t="str">
        <f t="shared" si="6"/>
        <v>s</v>
      </c>
      <c r="AJ6" s="39" t="str">
        <f t="shared" si="6"/>
        <v>s</v>
      </c>
      <c r="AK6" s="39" t="str">
        <f t="shared" si="6"/>
        <v>d</v>
      </c>
      <c r="AL6" s="39" t="str">
        <f t="shared" si="6"/>
        <v>s</v>
      </c>
      <c r="AM6" s="39" t="str">
        <f t="shared" si="6"/>
        <v>t</v>
      </c>
      <c r="AN6" s="39" t="str">
        <f t="shared" si="6"/>
        <v>q</v>
      </c>
      <c r="AO6" s="39" t="str">
        <f t="shared" si="6"/>
        <v>q</v>
      </c>
      <c r="AP6" s="39" t="str">
        <f t="shared" si="6"/>
        <v>s</v>
      </c>
      <c r="AQ6" s="39" t="str">
        <f t="shared" si="6"/>
        <v>s</v>
      </c>
      <c r="AR6" s="39" t="str">
        <f t="shared" si="6"/>
        <v>d</v>
      </c>
      <c r="AS6" s="39" t="str">
        <f t="shared" si="6"/>
        <v>s</v>
      </c>
      <c r="AT6" s="39" t="str">
        <f t="shared" si="6"/>
        <v>t</v>
      </c>
      <c r="AU6" s="39" t="str">
        <f t="shared" si="6"/>
        <v>q</v>
      </c>
      <c r="AV6" s="39" t="str">
        <f t="shared" si="6"/>
        <v>q</v>
      </c>
      <c r="AW6" s="39" t="str">
        <f t="shared" si="6"/>
        <v>s</v>
      </c>
      <c r="AX6" s="39" t="str">
        <f t="shared" si="6"/>
        <v>s</v>
      </c>
      <c r="AY6" s="39" t="str">
        <f t="shared" si="6"/>
        <v>d</v>
      </c>
      <c r="AZ6" s="39" t="str">
        <f t="shared" si="6"/>
        <v>s</v>
      </c>
      <c r="BA6" s="39" t="str">
        <f t="shared" si="6"/>
        <v>t</v>
      </c>
      <c r="BB6" s="39" t="str">
        <f t="shared" si="6"/>
        <v>q</v>
      </c>
      <c r="BC6" s="39" t="str">
        <f t="shared" si="6"/>
        <v>q</v>
      </c>
      <c r="BD6" s="39" t="str">
        <f t="shared" si="6"/>
        <v>s</v>
      </c>
      <c r="BE6" s="39" t="str">
        <f t="shared" si="6"/>
        <v>s</v>
      </c>
      <c r="BF6" s="39" t="str">
        <f t="shared" si="6"/>
        <v>d</v>
      </c>
      <c r="BG6" s="39" t="str">
        <f t="shared" si="6"/>
        <v>s</v>
      </c>
      <c r="BH6" s="39" t="str">
        <f t="shared" si="6"/>
        <v>t</v>
      </c>
      <c r="BI6" s="39" t="str">
        <f t="shared" si="6"/>
        <v>q</v>
      </c>
      <c r="BJ6" s="39" t="str">
        <f t="shared" si="6"/>
        <v>q</v>
      </c>
      <c r="BK6" s="39" t="str">
        <f t="shared" si="6"/>
        <v>s</v>
      </c>
      <c r="BL6" s="39" t="str">
        <f t="shared" si="6"/>
        <v>s</v>
      </c>
      <c r="BM6" s="39" t="str">
        <f t="shared" si="6"/>
        <v>d</v>
      </c>
      <c r="BN6" s="39" t="str">
        <f t="shared" si="6"/>
        <v>s</v>
      </c>
      <c r="BO6" s="39" t="str">
        <f t="shared" si="6"/>
        <v>t</v>
      </c>
      <c r="BP6" s="39" t="str">
        <f t="shared" si="6"/>
        <v>q</v>
      </c>
      <c r="BQ6" s="39" t="str">
        <f t="shared" si="6"/>
        <v>q</v>
      </c>
      <c r="BR6" s="39" t="str">
        <f t="shared" si="6"/>
        <v>s</v>
      </c>
      <c r="BS6" s="39" t="str">
        <f t="shared" si="6"/>
        <v>s</v>
      </c>
      <c r="BT6" s="39" t="str">
        <f t="shared" si="6"/>
        <v>d</v>
      </c>
      <c r="BU6" s="39" t="str">
        <f t="shared" si="6"/>
        <v>s</v>
      </c>
      <c r="BV6" s="39" t="str">
        <f t="shared" ref="BV6:CH6" si="7">LEFT(TEXT(BV5,"ddd"),1)</f>
        <v>t</v>
      </c>
      <c r="BW6" s="39" t="str">
        <f t="shared" si="7"/>
        <v>q</v>
      </c>
      <c r="BX6" s="39" t="str">
        <f t="shared" si="7"/>
        <v>q</v>
      </c>
      <c r="BY6" s="39" t="str">
        <f t="shared" si="7"/>
        <v>s</v>
      </c>
      <c r="BZ6" s="39" t="str">
        <f t="shared" si="7"/>
        <v>s</v>
      </c>
      <c r="CA6" s="39" t="str">
        <f t="shared" si="7"/>
        <v>d</v>
      </c>
      <c r="CB6" s="39" t="str">
        <f t="shared" si="7"/>
        <v>s</v>
      </c>
      <c r="CC6" s="39" t="str">
        <f t="shared" si="7"/>
        <v>t</v>
      </c>
      <c r="CD6" s="39" t="str">
        <f t="shared" si="7"/>
        <v>q</v>
      </c>
      <c r="CE6" s="39" t="str">
        <f t="shared" si="7"/>
        <v>q</v>
      </c>
      <c r="CF6" s="39" t="str">
        <f t="shared" si="7"/>
        <v>s</v>
      </c>
      <c r="CG6" s="39" t="str">
        <f t="shared" si="7"/>
        <v>s</v>
      </c>
      <c r="CH6" s="39" t="str">
        <f t="shared" si="7"/>
        <v>d</v>
      </c>
    </row>
    <row r="7" spans="1:86" ht="30" customHeight="1" thickBot="1">
      <c r="B7" s="44"/>
      <c r="C7" s="45"/>
      <c r="D7" s="46">
        <f>AVERAGE(D8:D12)</f>
        <v>0.25</v>
      </c>
      <c r="E7" s="42">
        <v>46224</v>
      </c>
      <c r="F7" s="43">
        <v>17</v>
      </c>
      <c r="G7" s="42">
        <f>F7+E7</f>
        <v>46241</v>
      </c>
      <c r="I7" s="8">
        <f>IF(OR(ISBLANK(Início_da_tarefa),ISBLANK(Término_da_tarefa)),"",Término_da_tarefa-Início_da_tarefa+1)</f>
        <v>18</v>
      </c>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row>
    <row r="8" spans="1:86" s="17" customFormat="1" ht="39.5" customHeight="1" thickBot="1">
      <c r="A8" s="1" t="s">
        <v>15</v>
      </c>
      <c r="B8" s="53" t="s">
        <v>26</v>
      </c>
      <c r="C8" s="54" t="s">
        <v>27</v>
      </c>
      <c r="D8" s="50"/>
      <c r="E8" s="51"/>
      <c r="F8" s="52"/>
      <c r="G8" s="51"/>
      <c r="H8" s="16"/>
      <c r="I8" s="16" t="str">
        <f t="shared" ref="I8" si="8">IF(OR(ISBLANK(Início_da_tarefa),ISBLANK(Término_da_tarefa)),"",Término_da_tarefa-Início_da_tarefa+1)</f>
        <v/>
      </c>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row>
    <row r="9" spans="1:86" s="17" customFormat="1" ht="45" customHeight="1" thickBot="1">
      <c r="A9" s="1"/>
      <c r="B9" s="40" t="s">
        <v>22</v>
      </c>
      <c r="C9" s="41" t="s">
        <v>25</v>
      </c>
      <c r="D9" s="24">
        <v>1</v>
      </c>
      <c r="E9" s="42">
        <v>46224</v>
      </c>
      <c r="F9" s="43">
        <v>0</v>
      </c>
      <c r="G9" s="42">
        <f>F9+E9</f>
        <v>46224</v>
      </c>
      <c r="H9" s="16"/>
      <c r="I9" s="16">
        <f t="shared" ref="I9:I14" si="9">IF(OR(ISBLANK(Início_da_tarefa),ISBLANK(Término_da_tarefa)),"",Término_da_tarefa-Início_da_tarefa+1)</f>
        <v>1</v>
      </c>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row>
    <row r="10" spans="1:86" s="17" customFormat="1" ht="43.25" customHeight="1" thickBot="1">
      <c r="A10" s="1" t="s">
        <v>16</v>
      </c>
      <c r="B10" s="40" t="s">
        <v>23</v>
      </c>
      <c r="C10" s="41" t="s">
        <v>25</v>
      </c>
      <c r="D10" s="24">
        <v>0</v>
      </c>
      <c r="E10" s="42">
        <v>46225</v>
      </c>
      <c r="F10" s="43">
        <v>1</v>
      </c>
      <c r="G10" s="42">
        <f t="shared" ref="G10:G12" si="10">F10+E10</f>
        <v>46226</v>
      </c>
      <c r="H10" s="16"/>
      <c r="I10" s="16">
        <f t="shared" si="9"/>
        <v>2</v>
      </c>
      <c r="J10" s="15"/>
      <c r="K10" s="15"/>
      <c r="L10" s="15"/>
      <c r="M10" s="15"/>
      <c r="N10" s="15"/>
      <c r="O10" s="15"/>
      <c r="P10" s="15"/>
      <c r="Q10" s="15"/>
      <c r="R10" s="15"/>
      <c r="S10" s="15"/>
      <c r="T10" s="15"/>
      <c r="U10" s="15"/>
      <c r="V10" s="18"/>
      <c r="W10" s="18"/>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row>
    <row r="11" spans="1:86" s="17" customFormat="1" ht="35" customHeight="1" thickBot="1">
      <c r="A11" s="7"/>
      <c r="B11" s="40" t="s">
        <v>24</v>
      </c>
      <c r="C11" s="41" t="s">
        <v>25</v>
      </c>
      <c r="D11" s="24">
        <v>0</v>
      </c>
      <c r="E11" s="42">
        <v>46230</v>
      </c>
      <c r="F11" s="43">
        <v>2</v>
      </c>
      <c r="G11" s="42">
        <f t="shared" si="10"/>
        <v>46232</v>
      </c>
      <c r="H11" s="16"/>
      <c r="I11" s="16">
        <f t="shared" si="9"/>
        <v>3</v>
      </c>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row>
    <row r="12" spans="1:86" s="17" customFormat="1" ht="60" customHeight="1" thickBot="1">
      <c r="A12" s="7"/>
      <c r="B12" s="40" t="s">
        <v>29</v>
      </c>
      <c r="C12" s="41" t="s">
        <v>25</v>
      </c>
      <c r="D12" s="24">
        <v>0</v>
      </c>
      <c r="E12" s="42">
        <v>46233</v>
      </c>
      <c r="F12" s="43">
        <v>8</v>
      </c>
      <c r="G12" s="42">
        <f t="shared" si="10"/>
        <v>46241</v>
      </c>
      <c r="H12" s="16"/>
      <c r="I12" s="16">
        <f t="shared" si="9"/>
        <v>9</v>
      </c>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row>
    <row r="13" spans="1:86" s="17" customFormat="1" ht="30" customHeight="1" thickBot="1">
      <c r="A13" s="7" t="s">
        <v>17</v>
      </c>
      <c r="B13" s="19"/>
      <c r="C13" s="20"/>
      <c r="D13" s="21"/>
      <c r="E13" s="30"/>
      <c r="F13" s="30"/>
      <c r="G13" s="30"/>
      <c r="H13" s="16"/>
      <c r="I13" s="16" t="str">
        <f t="shared" si="9"/>
        <v/>
      </c>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row>
    <row r="14" spans="1:86" s="17" customFormat="1" ht="30" customHeight="1" thickBot="1">
      <c r="A14" s="1" t="s">
        <v>18</v>
      </c>
      <c r="B14" s="22" t="s">
        <v>19</v>
      </c>
      <c r="C14" s="23"/>
      <c r="D14" s="24"/>
      <c r="E14" s="31"/>
      <c r="F14" s="31"/>
      <c r="G14" s="32"/>
      <c r="H14" s="25"/>
      <c r="I14" s="25" t="str">
        <f t="shared" si="9"/>
        <v/>
      </c>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row>
    <row r="15" spans="1:86" ht="30" customHeight="1">
      <c r="H15" s="27"/>
    </row>
    <row r="16" spans="1:86" ht="30" customHeight="1">
      <c r="C16" s="28"/>
      <c r="G16" s="35"/>
    </row>
    <row r="17" spans="3:3" ht="30" customHeight="1">
      <c r="C17" s="29"/>
    </row>
  </sheetData>
  <mergeCells count="14">
    <mergeCell ref="X4:AD4"/>
    <mergeCell ref="C3:D3"/>
    <mergeCell ref="E3:G3"/>
    <mergeCell ref="C4:D4"/>
    <mergeCell ref="J4:P4"/>
    <mergeCell ref="Q4:W4"/>
    <mergeCell ref="BU4:CA4"/>
    <mergeCell ref="CB4:CH4"/>
    <mergeCell ref="AE4:AK4"/>
    <mergeCell ref="AL4:AR4"/>
    <mergeCell ref="AS4:AY4"/>
    <mergeCell ref="AZ4:BF4"/>
    <mergeCell ref="BG4:BM4"/>
    <mergeCell ref="BN4:BT4"/>
  </mergeCells>
  <conditionalFormatting sqref="D7:D12">
    <cfRule type="dataBar" priority="2">
      <dataBar>
        <cfvo type="num" val="0"/>
        <cfvo type="num" val="1"/>
        <color theme="0" tint="-0.249977111117893"/>
      </dataBar>
      <extLst>
        <ext xmlns:x14="http://schemas.microsoft.com/office/spreadsheetml/2009/9/main" uri="{B025F937-C7B1-47D3-B67F-A62EFF666E3E}">
          <x14:id>{35D2BAD0-8B4A-4BAF-9CEA-217BDBC112DD}</x14:id>
        </ext>
      </extLst>
    </cfRule>
  </conditionalFormatting>
  <conditionalFormatting sqref="D13:D14">
    <cfRule type="dataBar" priority="24">
      <dataBar>
        <cfvo type="num" val="0"/>
        <cfvo type="num" val="1"/>
        <color theme="0" tint="-0.249977111117893"/>
      </dataBar>
      <extLst>
        <ext xmlns:x14="http://schemas.microsoft.com/office/spreadsheetml/2009/9/main" uri="{B025F937-C7B1-47D3-B67F-A62EFF666E3E}">
          <x14:id>{E5707CAA-3A1E-4BBA-B77B-0BD1814BB13D}</x14:id>
        </ext>
      </extLst>
    </cfRule>
  </conditionalFormatting>
  <conditionalFormatting sqref="J5:CH14">
    <cfRule type="expression" dxfId="2" priority="10">
      <formula>AND(TODAY()&gt;=J$5,TODAY()&lt;K$5)</formula>
    </cfRule>
  </conditionalFormatting>
  <conditionalFormatting sqref="J7:CH14">
    <cfRule type="expression" dxfId="1" priority="8">
      <formula>AND(Início_da_tarefa&lt;=J$5,ROUNDDOWN((Término_da_tarefa-Início_da_tarefa+1)*Progresso_da_tarefa,0)+Início_da_tarefa-1&gt;=J$5)</formula>
    </cfRule>
    <cfRule type="expression" dxfId="0" priority="9" stopIfTrue="1">
      <formula>AND(Término_da_tarefa&gt;=J$5,Início_da_tarefa&lt;K$5)</formula>
    </cfRule>
  </conditionalFormatting>
  <dataValidations count="1">
    <dataValidation type="whole" operator="greaterThanOrEqual" allowBlank="1" showInputMessage="1" promptTitle="Semana de exibição" prompt="Alterar esse número rola a exibição do Gráfico de Gantt." sqref="E4:F4" xr:uid="{BDC2FC5C-E134-4D8B-9C66-D0A8928D3DDC}">
      <formula1>1</formula1>
    </dataValidation>
  </dataValidations>
  <printOptions horizontalCentered="1"/>
  <pageMargins left="0.35" right="0.35" top="0.35" bottom="0.5" header="0.3" footer="0.3"/>
  <pageSetup paperSize="9" scale="4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35D2BAD0-8B4A-4BAF-9CEA-217BDBC112DD}">
            <x14:dataBar minLength="0" maxLength="100" gradient="0">
              <x14:cfvo type="num">
                <xm:f>0</xm:f>
              </x14:cfvo>
              <x14:cfvo type="num">
                <xm:f>1</xm:f>
              </x14:cfvo>
              <x14:negativeFillColor rgb="FFFF0000"/>
              <x14:axisColor rgb="FF000000"/>
            </x14:dataBar>
          </x14:cfRule>
          <xm:sqref>D7:D12</xm:sqref>
        </x14:conditionalFormatting>
        <x14:conditionalFormatting xmlns:xm="http://schemas.microsoft.com/office/excel/2006/main">
          <x14:cfRule type="dataBar" id="{E5707CAA-3A1E-4BBA-B77B-0BD1814BB13D}">
            <x14:dataBar minLength="0" maxLength="100" gradient="0">
              <x14:cfvo type="num">
                <xm:f>0</xm:f>
              </x14:cfvo>
              <x14:cfvo type="num">
                <xm:f>1</xm:f>
              </x14:cfvo>
              <x14:negativeFillColor rgb="FFFF0000"/>
              <x14:axisColor rgb="FF000000"/>
            </x14:dataBar>
          </x14:cfRule>
          <xm:sqref>D13:D14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Geovanna</dc:creator>
  <cp:lastModifiedBy>Davi  Lucas</cp:lastModifiedBy>
  <cp:lastPrinted>2026-01-14T12:47:57Z</cp:lastPrinted>
  <dcterms:created xsi:type="dcterms:W3CDTF">2025-11-27T11:59:30Z</dcterms:created>
  <dcterms:modified xsi:type="dcterms:W3CDTF">2026-07-22T10:50:56Z</dcterms:modified>
</cp:coreProperties>
</file>